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hi3\Downloads\"/>
    </mc:Choice>
  </mc:AlternateContent>
  <xr:revisionPtr revIDLastSave="0" documentId="13_ncr:1_{5269023C-B7CE-49D1-8886-BB94B2DE988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Dataset!$A$1:$J$37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 a="1"/>
  <c r="L2" i="2"/>
  <c r="H13" i="2"/>
  <c r="H33" i="2"/>
  <c r="H6" i="2"/>
  <c r="H18" i="2"/>
  <c r="H3" i="2"/>
  <c r="H7" i="2"/>
  <c r="H25" i="2"/>
  <c r="H27" i="2"/>
  <c r="H17" i="2"/>
  <c r="H30" i="2"/>
  <c r="H5" i="2"/>
  <c r="H21" i="2"/>
  <c r="H10" i="2"/>
  <c r="H29" i="2"/>
  <c r="H24" i="2"/>
  <c r="H20" i="2"/>
  <c r="H34" i="2"/>
  <c r="H22" i="2"/>
  <c r="H4" i="2"/>
  <c r="H26" i="2"/>
  <c r="H19" i="2"/>
  <c r="H14" i="2"/>
  <c r="H12" i="2"/>
  <c r="H32" i="2"/>
  <c r="H16" i="2"/>
  <c r="H28" i="2"/>
  <c r="H11" i="2"/>
  <c r="H2" i="2"/>
  <c r="H23" i="2"/>
  <c r="H8" i="2"/>
  <c r="H31" i="2"/>
  <c r="H15" i="2"/>
  <c r="H9" i="2"/>
  <c r="H35" i="2"/>
  <c r="H36" i="2" l="1"/>
  <c r="H3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<sst xmlns="http://schemas.openxmlformats.org/spreadsheetml/2006/main" count="265" uniqueCount="164">
  <si>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</si>
  <si>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</si>
  <si>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</si>
  <si>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</si>
  <si>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</si>
  <si>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</si>
  <si>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</si>
  <si>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</si>
  <si>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</si>
  <si>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</si>
  <si>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</si>
  <si>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</si>
  <si>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</si>
  <si>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</si>
  <si>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</si>
  <si>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</si>
  <si>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</si>
  <si>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</si>
  <si>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</si>
  <si>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</si>
  <si>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</si>
  <si>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</si>
  <si>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</si>
  <si>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</si>
  <si>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</si>
  <si>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</si>
  <si>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</si>
  <si>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</si>
  <si>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</si>
  <si>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</si>
  <si>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</si>
  <si>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</si>
  <si>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</si>
  <si>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</si>
  <si>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</si>
  <si>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</si>
  <si>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</si>
  <si>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</si>
  <si>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</si>
  <si>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</si>
  <si>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</si>
  <si>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</si>
  <si>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</si>
  <si>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</si>
  <si>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</si>
  <si>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</si>
  <si>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</si>
  <si>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</si>
  <si>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</si>
  <si>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</si>
  <si>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</si>
  <si>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</si>
  <si>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</si>
  <si>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</si>
  <si>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</si>
  <si>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</si>
  <si>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</si>
  <si>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</si>
  <si>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</si>
  <si>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</si>
  <si>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</si>
  <si>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</si>
  <si>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</si>
  <si>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</si>
  <si>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</si>
  <si>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</si>
  <si>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</si>
  <si>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</si>
  <si>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</si>
  <si>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</si>
  <si>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</si>
  <si>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</si>
  <si>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</si>
  <si>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</si>
  <si>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</si>
  <si>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</si>
  <si>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</si>
  <si>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</si>
  <si>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</si>
  <si>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</si>
  <si>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</si>
  <si>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</si>
  <si>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</si>
  <si>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</si>
  <si>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</si>
  <si>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</si>
  <si>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</si>
  <si>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</si>
  <si>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</si>
  <si>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</si>
  <si>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</si>
  <si>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</si>
  <si>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</si>
  <si>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</si>
  <si>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</si>
  <si>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</si>
  <si>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</si>
  <si>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</si>
  <si>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</si>
  <si>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</si>
  <si>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</si>
  <si>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</si>
  <si>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</si>
  <si>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</si>
  <si>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</si>
  <si>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</si>
  <si>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</si>
  <si>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</si>
  <si>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</si>
  <si>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</si>
  <si>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02</t>
  </si>
  <si>
    <t>23</t>
  </si>
  <si>
    <t>25</t>
  </si>
  <si>
    <t>09</t>
  </si>
  <si>
    <t>08</t>
  </si>
  <si>
    <t>03</t>
  </si>
  <si>
    <t>14</t>
  </si>
  <si>
    <t>24</t>
  </si>
  <si>
    <t>18</t>
  </si>
  <si>
    <t>01</t>
  </si>
  <si>
    <t>19</t>
  </si>
  <si>
    <t>20</t>
  </si>
  <si>
    <t>07</t>
  </si>
  <si>
    <t>16</t>
  </si>
  <si>
    <t>11</t>
  </si>
  <si>
    <t>05</t>
  </si>
  <si>
    <t>29</t>
  </si>
  <si>
    <t>17</t>
  </si>
  <si>
    <t>27</t>
  </si>
  <si>
    <t>28</t>
  </si>
  <si>
    <t>countrycode</t>
  </si>
  <si>
    <t>month</t>
  </si>
  <si>
    <t>UK</t>
  </si>
  <si>
    <t>CA</t>
  </si>
  <si>
    <t>US</t>
  </si>
  <si>
    <t>BR</t>
  </si>
  <si>
    <t>CN</t>
  </si>
  <si>
    <t>ES</t>
  </si>
  <si>
    <t>RU</t>
  </si>
  <si>
    <t>IN</t>
  </si>
  <si>
    <t>IT</t>
  </si>
  <si>
    <t>DE</t>
  </si>
  <si>
    <t>FR</t>
  </si>
  <si>
    <t>AU</t>
  </si>
  <si>
    <t>TOTAL</t>
  </si>
  <si>
    <t>AVERAGE</t>
  </si>
  <si>
    <t>JUL</t>
  </si>
  <si>
    <t>APR</t>
  </si>
  <si>
    <t>AUG</t>
  </si>
  <si>
    <t>DEC</t>
  </si>
  <si>
    <t>MAR</t>
  </si>
  <si>
    <t>MAY</t>
  </si>
  <si>
    <t>FEB</t>
  </si>
  <si>
    <t>JAN</t>
  </si>
  <si>
    <t>NOV</t>
  </si>
  <si>
    <t>OCT</t>
  </si>
  <si>
    <t>JUN</t>
  </si>
  <si>
    <t>SEP</t>
  </si>
  <si>
    <t>SUMIF</t>
  </si>
  <si>
    <t>COUNTIF</t>
  </si>
  <si>
    <t xml:space="preserve"> PRICE RANGE</t>
  </si>
  <si>
    <t>DAY</t>
  </si>
  <si>
    <t>Total Cost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</si>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</sst>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0"/>
      <color theme="1"/>
      <name val="Arial"/>
    </font>
    <font>
      <sz val="10"/>
      <color theme="4" tint="0.39997558519241921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4" borderId="1" xfId="0" applyFont="1" applyFill="1" applyBorder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0" fontId="10" fillId="0" borderId="1" xfId="0" applyFont="1" applyBorder="1"/>
    <xf numFmtId="49" fontId="0" fillId="0" borderId="1" xfId="0" applyNumberFormat="1" applyBorder="1" applyAlignment="1">
      <alignment horizontal="right"/>
    </xf>
    <xf numFmtId="49" fontId="8" fillId="0" borderId="1" xfId="0" applyNumberFormat="1" applyFont="1" applyBorder="1" applyAlignment="1">
      <alignment horizontal="right"/>
    </xf>
    <xf numFmtId="49" fontId="9" fillId="0" borderId="1" xfId="0" applyNumberFormat="1" applyFont="1" applyBorder="1" applyAlignment="1">
      <alignment horizontal="right"/>
    </xf>
    <xf numFmtId="49" fontId="0" fillId="0" borderId="0" xfId="0" applyNumberFormat="1" applyAlignment="1">
      <alignment horizontal="right"/>
    </xf>
    <xf numFmtId="0" fontId="7" fillId="2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8" fillId="0" borderId="1" xfId="0" applyFont="1" applyBorder="1" applyAlignment="1">
      <alignment horizontal="right"/>
    </xf>
    <xf numFmtId="0" fontId="0" fillId="4" borderId="1" xfId="0" applyFill="1" applyBorder="1"/>
    <xf numFmtId="49" fontId="7" fillId="2" borderId="1" xfId="0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M22" sqref="M22"/>
    </sheetView>
  </sheetViews>
  <sheetFormatPr defaultColWidth="12.6640625" defaultRowHeight="15.75" customHeight="1" x14ac:dyDescent="0.25"/>
  <sheetData>
    <row r="1" spans="1:26" ht="13.8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/>
      <c r="B4" s="2"/>
      <c r="C4" s="4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/>
      <c r="B5" s="2"/>
      <c r="C5" s="4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/>
      <c r="B6" s="2"/>
      <c r="C6" s="4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3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2"/>
      <c r="B9" s="2"/>
      <c r="C9" s="4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2"/>
      <c r="B10" s="2"/>
      <c r="C10" s="4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3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2"/>
      <c r="B13" s="2"/>
      <c r="C13" s="4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3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4" t="s">
        <v>11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4" t="s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3" t="s">
        <v>13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4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4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4" t="s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37"/>
  <sheetViews>
    <sheetView tabSelected="1" topLeftCell="D1" workbookViewId="0">
      <selection activeCell="O3" sqref="O3"/>
    </sheetView>
  </sheetViews>
  <sheetFormatPr defaultColWidth="12.6640625" defaultRowHeight="15.75" customHeight="1" x14ac:dyDescent="0.25"/>
  <cols>
    <col min="9" max="9" width="12.6640625" style="17"/>
    <col min="10" max="11" width="12.6640625" style="20"/>
  </cols>
  <sheetData>
    <row r="1" spans="1:15" ht="13.2" x14ac:dyDescent="0.25">
      <c r="A1" s="5"/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24" t="s">
        <v>162</v>
      </c>
      <c r="I1" s="23" t="s">
        <v>161</v>
      </c>
      <c r="J1" s="7" t="s">
        <v>131</v>
      </c>
      <c r="K1" s="18" t="s">
        <v>130</v>
      </c>
      <c r="L1" s="7" t="s">
        <v>158</v>
      </c>
      <c r="M1" s="22" t="s">
        <v>159</v>
      </c>
      <c r="N1" s="22" t="s">
        <v>160</v>
      </c>
    </row>
    <row r="2" spans="1:15" ht="13.2" x14ac:dyDescent="0.25">
      <c r="A2" s="8">
        <v>7</v>
      </c>
      <c r="B2" s="9" t="s">
        <v>45</v>
      </c>
      <c r="C2" s="9" t="s">
        <v>46</v>
      </c>
      <c r="D2" s="9" t="s">
        <v>47</v>
      </c>
      <c r="E2" s="10">
        <v>30</v>
      </c>
      <c r="F2" s="10">
        <v>5</v>
      </c>
      <c r="G2" s="9" t="s">
        <v>30</v>
      </c>
      <c r="H2" s="8">
        <f t="shared" ref="H2:H35" si="0">F2*E2</f>
        <v>150</v>
      </c>
      <c r="I2" s="14">
        <v>19</v>
      </c>
      <c r="J2" s="19" t="s">
        <v>146</v>
      </c>
      <c r="K2" s="21" t="s">
        <v>132</v>
      </c>
      <c r="L2" s="8">
        <f>SUMIF(G2:G35,"Electronics",H2:H35)</f>
        <v>234200</v>
      </c>
      <c r="M2" s="8">
        <v>11</v>
      </c>
      <c r="N2" s="8" t="str" cm="1">
        <f t="array" ref="N2:N35">IF(E2:E35&gt;=500,"High Price","Standard Price")</f>
        <v>Standard Price</v>
      </c>
    </row>
    <row r="3" spans="1:15" ht="13.2" x14ac:dyDescent="0.25">
      <c r="A3" s="8">
        <v>30</v>
      </c>
      <c r="B3" s="11" t="s">
        <v>99</v>
      </c>
      <c r="C3" s="11" t="s">
        <v>100</v>
      </c>
      <c r="D3" s="11" t="s">
        <v>101</v>
      </c>
      <c r="E3" s="12">
        <v>40</v>
      </c>
      <c r="F3" s="12">
        <v>10</v>
      </c>
      <c r="G3" s="11" t="s">
        <v>34</v>
      </c>
      <c r="H3" s="8">
        <f t="shared" si="0"/>
        <v>400</v>
      </c>
      <c r="I3" s="14">
        <v>13</v>
      </c>
      <c r="J3" s="19" t="s">
        <v>147</v>
      </c>
      <c r="K3" s="21" t="s">
        <v>133</v>
      </c>
      <c r="L3" s="8"/>
      <c r="M3" s="8"/>
      <c r="N3" s="8" t="str">
        <v>Standard Price</v>
      </c>
      <c r="O3" t="s">
        <v>163</v>
      </c>
    </row>
    <row r="4" spans="1:15" ht="13.2" x14ac:dyDescent="0.25">
      <c r="A4" s="8">
        <v>16</v>
      </c>
      <c r="B4" s="11" t="s">
        <v>67</v>
      </c>
      <c r="C4" s="11" t="s">
        <v>68</v>
      </c>
      <c r="D4" s="11" t="s">
        <v>69</v>
      </c>
      <c r="E4" s="12">
        <v>50</v>
      </c>
      <c r="F4" s="12">
        <v>35</v>
      </c>
      <c r="G4" s="11" t="s">
        <v>70</v>
      </c>
      <c r="H4" s="8">
        <f t="shared" si="0"/>
        <v>1750</v>
      </c>
      <c r="I4" s="14">
        <v>21</v>
      </c>
      <c r="J4" s="19" t="s">
        <v>148</v>
      </c>
      <c r="K4" s="21" t="s">
        <v>133</v>
      </c>
      <c r="L4" s="8"/>
      <c r="M4" s="8"/>
      <c r="N4" s="8" t="str">
        <v>Standard Price</v>
      </c>
    </row>
    <row r="5" spans="1:15" ht="15.75" customHeight="1" x14ac:dyDescent="0.25">
      <c r="A5" s="8">
        <v>24</v>
      </c>
      <c r="B5" s="11" t="s">
        <v>67</v>
      </c>
      <c r="C5" s="11" t="s">
        <v>68</v>
      </c>
      <c r="D5" s="11" t="s">
        <v>69</v>
      </c>
      <c r="E5" s="12">
        <v>50</v>
      </c>
      <c r="F5" s="12">
        <v>35</v>
      </c>
      <c r="G5" s="11" t="s">
        <v>70</v>
      </c>
      <c r="H5" s="8">
        <f t="shared" si="0"/>
        <v>1750</v>
      </c>
      <c r="I5" s="14">
        <v>21</v>
      </c>
      <c r="J5" s="19" t="s">
        <v>148</v>
      </c>
      <c r="K5" s="21" t="s">
        <v>133</v>
      </c>
      <c r="L5" s="8"/>
      <c r="M5" s="8"/>
      <c r="N5" s="8" t="str">
        <v>Standard Price</v>
      </c>
    </row>
    <row r="6" spans="1:15" ht="13.2" x14ac:dyDescent="0.25">
      <c r="A6" s="8">
        <v>32</v>
      </c>
      <c r="B6" s="11" t="s">
        <v>104</v>
      </c>
      <c r="C6" s="11" t="s">
        <v>105</v>
      </c>
      <c r="D6" s="11" t="s">
        <v>106</v>
      </c>
      <c r="E6" s="12">
        <v>50</v>
      </c>
      <c r="F6" s="12">
        <v>50</v>
      </c>
      <c r="G6" s="11" t="s">
        <v>30</v>
      </c>
      <c r="H6" s="8">
        <f t="shared" si="0"/>
        <v>2500</v>
      </c>
      <c r="I6" s="15" t="s">
        <v>110</v>
      </c>
      <c r="J6" s="19" t="s">
        <v>149</v>
      </c>
      <c r="K6" s="21" t="s">
        <v>133</v>
      </c>
      <c r="L6" s="8"/>
      <c r="M6" s="8"/>
      <c r="N6" s="8" t="str">
        <v>Standard Price</v>
      </c>
    </row>
    <row r="7" spans="1:15" ht="13.2" x14ac:dyDescent="0.25">
      <c r="A7" s="8">
        <v>29</v>
      </c>
      <c r="B7" s="9" t="s">
        <v>96</v>
      </c>
      <c r="C7" s="9" t="s">
        <v>97</v>
      </c>
      <c r="D7" s="9" t="s">
        <v>98</v>
      </c>
      <c r="E7" s="10">
        <v>60</v>
      </c>
      <c r="F7" s="10">
        <v>30</v>
      </c>
      <c r="G7" s="9" t="s">
        <v>30</v>
      </c>
      <c r="H7" s="8">
        <f t="shared" si="0"/>
        <v>1800</v>
      </c>
      <c r="I7" s="15" t="s">
        <v>122</v>
      </c>
      <c r="J7" s="19" t="s">
        <v>150</v>
      </c>
      <c r="K7" s="19" t="s">
        <v>133</v>
      </c>
      <c r="L7" s="8"/>
      <c r="M7" s="8"/>
      <c r="N7" s="8" t="str">
        <v>Standard Price</v>
      </c>
    </row>
    <row r="8" spans="1:15" ht="13.2" x14ac:dyDescent="0.25">
      <c r="A8" s="8">
        <v>5</v>
      </c>
      <c r="B8" s="9" t="s">
        <v>38</v>
      </c>
      <c r="C8" s="9" t="s">
        <v>39</v>
      </c>
      <c r="D8" s="9" t="s">
        <v>40</v>
      </c>
      <c r="E8" s="10">
        <v>70</v>
      </c>
      <c r="F8" s="10">
        <v>20</v>
      </c>
      <c r="G8" s="9" t="s">
        <v>41</v>
      </c>
      <c r="H8" s="8">
        <f t="shared" si="0"/>
        <v>1400</v>
      </c>
      <c r="I8" s="14">
        <v>22</v>
      </c>
      <c r="J8" s="19" t="s">
        <v>151</v>
      </c>
      <c r="K8" s="19" t="s">
        <v>134</v>
      </c>
      <c r="L8" s="8"/>
      <c r="M8" s="8"/>
      <c r="N8" s="8" t="str">
        <v>Standard Price</v>
      </c>
    </row>
    <row r="9" spans="1:15" ht="13.2" x14ac:dyDescent="0.25">
      <c r="A9" s="8">
        <v>2</v>
      </c>
      <c r="B9" s="11" t="s">
        <v>27</v>
      </c>
      <c r="C9" s="11" t="s">
        <v>28</v>
      </c>
      <c r="D9" s="11" t="s">
        <v>29</v>
      </c>
      <c r="E9" s="12">
        <v>80</v>
      </c>
      <c r="F9" s="12">
        <v>15</v>
      </c>
      <c r="G9" s="11" t="s">
        <v>30</v>
      </c>
      <c r="H9" s="8">
        <f t="shared" si="0"/>
        <v>1200</v>
      </c>
      <c r="I9" s="14">
        <v>15</v>
      </c>
      <c r="J9" s="19" t="s">
        <v>152</v>
      </c>
      <c r="K9" s="19" t="s">
        <v>134</v>
      </c>
      <c r="L9" s="8"/>
      <c r="M9" s="8"/>
      <c r="N9" s="8" t="str">
        <v>Standard Price</v>
      </c>
    </row>
    <row r="10" spans="1:15" ht="13.2" x14ac:dyDescent="0.25">
      <c r="A10" s="8">
        <v>22</v>
      </c>
      <c r="B10" s="11" t="s">
        <v>84</v>
      </c>
      <c r="C10" s="11" t="s">
        <v>85</v>
      </c>
      <c r="D10" s="11" t="s">
        <v>86</v>
      </c>
      <c r="E10" s="12">
        <v>80</v>
      </c>
      <c r="F10" s="12">
        <v>20</v>
      </c>
      <c r="G10" s="11" t="s">
        <v>34</v>
      </c>
      <c r="H10" s="8">
        <f t="shared" si="0"/>
        <v>1600</v>
      </c>
      <c r="I10" s="15" t="s">
        <v>113</v>
      </c>
      <c r="J10" s="19" t="s">
        <v>153</v>
      </c>
      <c r="K10" s="19" t="s">
        <v>133</v>
      </c>
      <c r="L10" s="8"/>
      <c r="M10" s="8"/>
      <c r="N10" s="8" t="str">
        <v>Standard Price</v>
      </c>
    </row>
    <row r="11" spans="1:15" ht="13.2" x14ac:dyDescent="0.25">
      <c r="A11" s="8">
        <v>8</v>
      </c>
      <c r="B11" s="11" t="s">
        <v>48</v>
      </c>
      <c r="C11" s="11" t="s">
        <v>49</v>
      </c>
      <c r="D11" s="11" t="s">
        <v>50</v>
      </c>
      <c r="E11" s="12">
        <v>90</v>
      </c>
      <c r="F11" s="12">
        <v>35</v>
      </c>
      <c r="G11" s="11" t="s">
        <v>34</v>
      </c>
      <c r="H11" s="8">
        <f t="shared" si="0"/>
        <v>3150</v>
      </c>
      <c r="I11" s="15" t="s">
        <v>111</v>
      </c>
      <c r="J11" s="19" t="s">
        <v>148</v>
      </c>
      <c r="K11" s="19" t="s">
        <v>132</v>
      </c>
      <c r="L11" s="8"/>
      <c r="M11" s="8"/>
      <c r="N11" s="8" t="str">
        <v>Standard Price</v>
      </c>
    </row>
    <row r="12" spans="1:15" ht="13.2" x14ac:dyDescent="0.25">
      <c r="A12" s="8">
        <v>12</v>
      </c>
      <c r="B12" s="11" t="s">
        <v>59</v>
      </c>
      <c r="C12" s="11" t="s">
        <v>28</v>
      </c>
      <c r="D12" s="11" t="s">
        <v>47</v>
      </c>
      <c r="E12" s="12">
        <v>90</v>
      </c>
      <c r="F12" s="12">
        <v>40</v>
      </c>
      <c r="G12" s="11" t="s">
        <v>30</v>
      </c>
      <c r="H12" s="8">
        <f t="shared" si="0"/>
        <v>3600</v>
      </c>
      <c r="I12" s="15" t="s">
        <v>112</v>
      </c>
      <c r="J12" s="19" t="s">
        <v>154</v>
      </c>
      <c r="K12" s="19" t="s">
        <v>143</v>
      </c>
      <c r="L12" s="8"/>
      <c r="M12" s="8"/>
      <c r="N12" s="8" t="str">
        <v>Standard Price</v>
      </c>
    </row>
    <row r="13" spans="1:15" ht="13.2" x14ac:dyDescent="0.25">
      <c r="A13" s="8">
        <v>34</v>
      </c>
      <c r="B13" s="11" t="s">
        <v>107</v>
      </c>
      <c r="C13" s="11" t="s">
        <v>108</v>
      </c>
      <c r="D13" s="11" t="s">
        <v>109</v>
      </c>
      <c r="E13" s="12">
        <v>100</v>
      </c>
      <c r="F13" s="12">
        <v>20</v>
      </c>
      <c r="G13" s="11" t="s">
        <v>70</v>
      </c>
      <c r="H13" s="8">
        <f t="shared" si="0"/>
        <v>2000</v>
      </c>
      <c r="I13" s="15" t="s">
        <v>113</v>
      </c>
      <c r="J13" s="19" t="s">
        <v>146</v>
      </c>
      <c r="K13" s="19" t="s">
        <v>142</v>
      </c>
      <c r="L13" s="8"/>
      <c r="M13" s="8"/>
      <c r="N13" s="8" t="str">
        <v>Standard Price</v>
      </c>
    </row>
    <row r="14" spans="1:15" ht="13.2" x14ac:dyDescent="0.25">
      <c r="A14" s="8">
        <v>13</v>
      </c>
      <c r="B14" s="9" t="s">
        <v>60</v>
      </c>
      <c r="C14" s="9" t="s">
        <v>32</v>
      </c>
      <c r="D14" s="9" t="s">
        <v>61</v>
      </c>
      <c r="E14" s="10">
        <v>120</v>
      </c>
      <c r="F14" s="10">
        <v>35</v>
      </c>
      <c r="G14" s="9" t="s">
        <v>34</v>
      </c>
      <c r="H14" s="8">
        <f t="shared" si="0"/>
        <v>4200</v>
      </c>
      <c r="I14" s="15" t="s">
        <v>114</v>
      </c>
      <c r="J14" s="19" t="s">
        <v>149</v>
      </c>
      <c r="K14" s="19" t="s">
        <v>141</v>
      </c>
      <c r="L14" s="8"/>
      <c r="M14" s="8"/>
      <c r="N14" s="8" t="str">
        <v>Standard Price</v>
      </c>
    </row>
    <row r="15" spans="1:15" ht="13.2" x14ac:dyDescent="0.25">
      <c r="A15" s="8">
        <v>3</v>
      </c>
      <c r="B15" s="9" t="s">
        <v>31</v>
      </c>
      <c r="C15" s="9" t="s">
        <v>32</v>
      </c>
      <c r="D15" s="9" t="s">
        <v>33</v>
      </c>
      <c r="E15" s="10">
        <v>130</v>
      </c>
      <c r="F15" s="10">
        <v>40</v>
      </c>
      <c r="G15" s="9" t="s">
        <v>34</v>
      </c>
      <c r="H15" s="8">
        <f t="shared" si="0"/>
        <v>5200</v>
      </c>
      <c r="I15" s="15" t="s">
        <v>115</v>
      </c>
      <c r="J15" s="19" t="s">
        <v>150</v>
      </c>
      <c r="K15" s="19" t="s">
        <v>134</v>
      </c>
      <c r="L15" s="8"/>
      <c r="M15" s="8"/>
      <c r="N15" s="8" t="str">
        <v>Standard Price</v>
      </c>
    </row>
    <row r="16" spans="1:15" ht="13.2" x14ac:dyDescent="0.25">
      <c r="A16" s="8">
        <v>10</v>
      </c>
      <c r="B16" s="11" t="s">
        <v>54</v>
      </c>
      <c r="C16" s="11" t="s">
        <v>55</v>
      </c>
      <c r="D16" s="11" t="s">
        <v>56</v>
      </c>
      <c r="E16" s="12">
        <v>130</v>
      </c>
      <c r="F16" s="12">
        <v>10</v>
      </c>
      <c r="G16" s="11" t="s">
        <v>41</v>
      </c>
      <c r="H16" s="8">
        <f t="shared" si="0"/>
        <v>1300</v>
      </c>
      <c r="I16" s="15" t="s">
        <v>116</v>
      </c>
      <c r="J16" s="19" t="s">
        <v>155</v>
      </c>
      <c r="K16" s="19" t="s">
        <v>132</v>
      </c>
      <c r="L16" s="8"/>
      <c r="M16" s="8"/>
      <c r="N16" s="8" t="str">
        <v>Standard Price</v>
      </c>
    </row>
    <row r="17" spans="1:14" ht="13.2" x14ac:dyDescent="0.25">
      <c r="A17" s="8">
        <v>26</v>
      </c>
      <c r="B17" s="11" t="s">
        <v>92</v>
      </c>
      <c r="C17" s="11" t="s">
        <v>76</v>
      </c>
      <c r="D17" s="11" t="s">
        <v>93</v>
      </c>
      <c r="E17" s="12">
        <v>130</v>
      </c>
      <c r="F17" s="12">
        <v>25</v>
      </c>
      <c r="G17" s="11" t="s">
        <v>30</v>
      </c>
      <c r="H17" s="8">
        <f t="shared" si="0"/>
        <v>3250</v>
      </c>
      <c r="I17" s="15" t="s">
        <v>115</v>
      </c>
      <c r="J17" s="19" t="s">
        <v>156</v>
      </c>
      <c r="K17" s="19" t="s">
        <v>133</v>
      </c>
      <c r="L17" s="8"/>
      <c r="M17" s="8"/>
      <c r="N17" s="8" t="str">
        <v>Standard Price</v>
      </c>
    </row>
    <row r="18" spans="1:14" ht="13.2" x14ac:dyDescent="0.25">
      <c r="A18" s="8">
        <v>31</v>
      </c>
      <c r="B18" s="9" t="s">
        <v>102</v>
      </c>
      <c r="C18" s="9" t="s">
        <v>88</v>
      </c>
      <c r="D18" s="9" t="s">
        <v>103</v>
      </c>
      <c r="E18" s="10">
        <v>130</v>
      </c>
      <c r="F18" s="10">
        <v>5</v>
      </c>
      <c r="G18" s="9" t="s">
        <v>26</v>
      </c>
      <c r="H18" s="8">
        <f t="shared" si="0"/>
        <v>650</v>
      </c>
      <c r="I18" s="15" t="s">
        <v>117</v>
      </c>
      <c r="J18" s="19" t="s">
        <v>151</v>
      </c>
      <c r="K18" s="19" t="s">
        <v>133</v>
      </c>
      <c r="L18" s="8"/>
      <c r="M18" s="8"/>
      <c r="N18" s="8" t="str">
        <v>Standard Price</v>
      </c>
    </row>
    <row r="19" spans="1:14" ht="13.2" x14ac:dyDescent="0.25">
      <c r="A19" s="8">
        <v>14</v>
      </c>
      <c r="B19" s="11" t="s">
        <v>62</v>
      </c>
      <c r="C19" s="11" t="s">
        <v>63</v>
      </c>
      <c r="D19" s="11" t="s">
        <v>64</v>
      </c>
      <c r="E19" s="12">
        <v>150</v>
      </c>
      <c r="F19" s="12">
        <v>15</v>
      </c>
      <c r="G19" s="11" t="s">
        <v>26</v>
      </c>
      <c r="H19" s="8">
        <f t="shared" si="0"/>
        <v>2250</v>
      </c>
      <c r="I19" s="15" t="s">
        <v>118</v>
      </c>
      <c r="J19" s="19" t="s">
        <v>152</v>
      </c>
      <c r="K19" s="19" t="s">
        <v>133</v>
      </c>
      <c r="L19" s="8"/>
      <c r="M19" s="8"/>
      <c r="N19" s="8" t="str">
        <v>Standard Price</v>
      </c>
    </row>
    <row r="20" spans="1:14" ht="13.2" x14ac:dyDescent="0.25">
      <c r="A20" s="8">
        <v>19</v>
      </c>
      <c r="B20" s="9" t="s">
        <v>75</v>
      </c>
      <c r="C20" s="9" t="s">
        <v>76</v>
      </c>
      <c r="D20" s="9" t="s">
        <v>77</v>
      </c>
      <c r="E20" s="10">
        <v>150</v>
      </c>
      <c r="F20" s="10">
        <v>15</v>
      </c>
      <c r="G20" s="9" t="s">
        <v>30</v>
      </c>
      <c r="H20" s="8">
        <f t="shared" si="0"/>
        <v>2250</v>
      </c>
      <c r="I20" s="15" t="s">
        <v>119</v>
      </c>
      <c r="J20" s="19" t="s">
        <v>150</v>
      </c>
      <c r="K20" s="19" t="s">
        <v>132</v>
      </c>
      <c r="L20" s="8"/>
      <c r="M20" s="8"/>
      <c r="N20" s="8" t="str">
        <v>Standard Price</v>
      </c>
    </row>
    <row r="21" spans="1:14" ht="13.2" x14ac:dyDescent="0.25">
      <c r="A21" s="8">
        <v>23</v>
      </c>
      <c r="B21" s="9" t="s">
        <v>87</v>
      </c>
      <c r="C21" s="9" t="s">
        <v>88</v>
      </c>
      <c r="D21" s="9" t="s">
        <v>89</v>
      </c>
      <c r="E21" s="10">
        <v>150</v>
      </c>
      <c r="F21" s="10">
        <v>30</v>
      </c>
      <c r="G21" s="9" t="s">
        <v>26</v>
      </c>
      <c r="H21" s="8">
        <f t="shared" si="0"/>
        <v>4500</v>
      </c>
      <c r="I21" s="15" t="s">
        <v>120</v>
      </c>
      <c r="J21" s="19" t="s">
        <v>146</v>
      </c>
      <c r="K21" s="19" t="s">
        <v>135</v>
      </c>
      <c r="L21" s="8"/>
      <c r="M21" s="8"/>
      <c r="N21" s="8" t="str">
        <v>Standard Price</v>
      </c>
    </row>
    <row r="22" spans="1:14" ht="13.2" x14ac:dyDescent="0.25">
      <c r="A22" s="8">
        <v>17</v>
      </c>
      <c r="B22" s="9" t="s">
        <v>71</v>
      </c>
      <c r="C22" s="9" t="s">
        <v>63</v>
      </c>
      <c r="D22" s="9" t="s">
        <v>72</v>
      </c>
      <c r="E22" s="10">
        <v>160</v>
      </c>
      <c r="F22" s="10">
        <v>15</v>
      </c>
      <c r="G22" s="9" t="s">
        <v>26</v>
      </c>
      <c r="H22" s="8">
        <f t="shared" si="0"/>
        <v>2400</v>
      </c>
      <c r="I22" s="15" t="s">
        <v>121</v>
      </c>
      <c r="J22" s="19" t="s">
        <v>148</v>
      </c>
      <c r="K22" s="19" t="s">
        <v>136</v>
      </c>
      <c r="L22" s="8"/>
      <c r="M22" s="8"/>
      <c r="N22" s="8" t="str">
        <v>Standard Price</v>
      </c>
    </row>
    <row r="23" spans="1:14" ht="13.2" x14ac:dyDescent="0.25">
      <c r="A23" s="8">
        <v>6</v>
      </c>
      <c r="B23" s="11" t="s">
        <v>42</v>
      </c>
      <c r="C23" s="11" t="s">
        <v>43</v>
      </c>
      <c r="D23" s="11" t="s">
        <v>44</v>
      </c>
      <c r="E23" s="12">
        <v>200</v>
      </c>
      <c r="F23" s="12">
        <v>45</v>
      </c>
      <c r="G23" s="11" t="s">
        <v>26</v>
      </c>
      <c r="H23" s="8">
        <f t="shared" si="0"/>
        <v>9000</v>
      </c>
      <c r="I23" s="15" t="s">
        <v>122</v>
      </c>
      <c r="J23" s="19" t="s">
        <v>156</v>
      </c>
      <c r="K23" s="19" t="s">
        <v>132</v>
      </c>
      <c r="L23" s="8"/>
      <c r="M23" s="8"/>
      <c r="N23" s="8" t="str">
        <v>Standard Price</v>
      </c>
    </row>
    <row r="24" spans="1:14" ht="13.2" x14ac:dyDescent="0.25">
      <c r="A24" s="8">
        <v>20</v>
      </c>
      <c r="B24" s="11" t="s">
        <v>78</v>
      </c>
      <c r="C24" s="11" t="s">
        <v>79</v>
      </c>
      <c r="D24" s="11" t="s">
        <v>80</v>
      </c>
      <c r="E24" s="12">
        <v>200</v>
      </c>
      <c r="F24" s="12">
        <v>10</v>
      </c>
      <c r="G24" s="11" t="s">
        <v>41</v>
      </c>
      <c r="H24" s="8">
        <f t="shared" si="0"/>
        <v>2000</v>
      </c>
      <c r="I24" s="15" t="s">
        <v>116</v>
      </c>
      <c r="J24" s="19" t="s">
        <v>148</v>
      </c>
      <c r="K24" s="19" t="s">
        <v>134</v>
      </c>
      <c r="L24" s="8"/>
      <c r="M24" s="8"/>
      <c r="N24" s="8" t="str">
        <v>Standard Price</v>
      </c>
    </row>
    <row r="25" spans="1:14" ht="13.2" x14ac:dyDescent="0.25">
      <c r="A25" s="8">
        <v>28</v>
      </c>
      <c r="B25" s="11" t="s">
        <v>65</v>
      </c>
      <c r="C25" s="11" t="s">
        <v>43</v>
      </c>
      <c r="D25" s="11" t="s">
        <v>66</v>
      </c>
      <c r="E25" s="12">
        <v>230</v>
      </c>
      <c r="F25" s="12">
        <v>20</v>
      </c>
      <c r="G25" s="11" t="s">
        <v>26</v>
      </c>
      <c r="H25" s="8">
        <f t="shared" si="0"/>
        <v>4600</v>
      </c>
      <c r="I25" s="15" t="s">
        <v>123</v>
      </c>
      <c r="J25" s="19" t="s">
        <v>147</v>
      </c>
      <c r="K25" s="19" t="s">
        <v>137</v>
      </c>
      <c r="L25" s="8"/>
      <c r="M25" s="8"/>
      <c r="N25" s="8" t="str">
        <v>Standard Price</v>
      </c>
    </row>
    <row r="26" spans="1:14" ht="13.2" x14ac:dyDescent="0.25">
      <c r="A26" s="8">
        <v>15</v>
      </c>
      <c r="B26" s="9" t="s">
        <v>65</v>
      </c>
      <c r="C26" s="9" t="s">
        <v>43</v>
      </c>
      <c r="D26" s="9" t="s">
        <v>66</v>
      </c>
      <c r="E26" s="10">
        <v>250</v>
      </c>
      <c r="F26" s="10">
        <v>20</v>
      </c>
      <c r="G26" s="9" t="s">
        <v>26</v>
      </c>
      <c r="H26" s="8">
        <f t="shared" si="0"/>
        <v>5000</v>
      </c>
      <c r="I26" s="15" t="s">
        <v>123</v>
      </c>
      <c r="J26" s="19" t="s">
        <v>147</v>
      </c>
      <c r="K26" s="19" t="s">
        <v>137</v>
      </c>
      <c r="L26" s="8"/>
      <c r="M26" s="8"/>
      <c r="N26" s="8" t="str">
        <v>Standard Price</v>
      </c>
    </row>
    <row r="27" spans="1:14" ht="13.2" x14ac:dyDescent="0.25">
      <c r="A27" s="8">
        <v>27</v>
      </c>
      <c r="B27" s="9" t="s">
        <v>94</v>
      </c>
      <c r="C27" s="9" t="s">
        <v>49</v>
      </c>
      <c r="D27" s="9" t="s">
        <v>95</v>
      </c>
      <c r="E27" s="10">
        <v>400</v>
      </c>
      <c r="F27" s="10">
        <v>40</v>
      </c>
      <c r="G27" s="9" t="s">
        <v>34</v>
      </c>
      <c r="H27" s="8">
        <f t="shared" si="0"/>
        <v>16000</v>
      </c>
      <c r="I27" s="15" t="s">
        <v>124</v>
      </c>
      <c r="J27" s="19" t="s">
        <v>146</v>
      </c>
      <c r="K27" s="19" t="s">
        <v>133</v>
      </c>
      <c r="L27" s="8"/>
      <c r="M27" s="8"/>
      <c r="N27" s="8" t="str">
        <v>Standard Price</v>
      </c>
    </row>
    <row r="28" spans="1:14" ht="13.2" x14ac:dyDescent="0.25">
      <c r="A28" s="8">
        <v>9</v>
      </c>
      <c r="B28" s="9" t="s">
        <v>51</v>
      </c>
      <c r="C28" s="9" t="s">
        <v>52</v>
      </c>
      <c r="D28" s="9" t="s">
        <v>53</v>
      </c>
      <c r="E28" s="10">
        <v>500</v>
      </c>
      <c r="F28" s="10">
        <v>50</v>
      </c>
      <c r="G28" s="9" t="s">
        <v>26</v>
      </c>
      <c r="H28" s="8">
        <f t="shared" si="0"/>
        <v>25000</v>
      </c>
      <c r="I28" s="15" t="s">
        <v>125</v>
      </c>
      <c r="J28" s="19" t="s">
        <v>157</v>
      </c>
      <c r="K28" s="19" t="s">
        <v>132</v>
      </c>
      <c r="L28" s="8"/>
      <c r="M28" s="8"/>
      <c r="N28" s="8" t="str">
        <v>High Price</v>
      </c>
    </row>
    <row r="29" spans="1:14" ht="13.2" x14ac:dyDescent="0.25">
      <c r="A29" s="8">
        <v>21</v>
      </c>
      <c r="B29" s="9" t="s">
        <v>81</v>
      </c>
      <c r="C29" s="9" t="s">
        <v>82</v>
      </c>
      <c r="D29" s="9" t="s">
        <v>83</v>
      </c>
      <c r="E29" s="10">
        <v>700</v>
      </c>
      <c r="F29" s="10">
        <v>50</v>
      </c>
      <c r="G29" s="9" t="s">
        <v>26</v>
      </c>
      <c r="H29" s="8">
        <f t="shared" si="0"/>
        <v>35000</v>
      </c>
      <c r="I29" s="15" t="s">
        <v>116</v>
      </c>
      <c r="J29" s="19" t="s">
        <v>151</v>
      </c>
      <c r="K29" s="19" t="s">
        <v>138</v>
      </c>
      <c r="L29" s="8"/>
      <c r="M29" s="8"/>
      <c r="N29" s="8" t="str">
        <v>High Price</v>
      </c>
    </row>
    <row r="30" spans="1:14" ht="13.2" x14ac:dyDescent="0.25">
      <c r="A30" s="8">
        <v>25</v>
      </c>
      <c r="B30" s="9" t="s">
        <v>90</v>
      </c>
      <c r="C30" s="9" t="s">
        <v>36</v>
      </c>
      <c r="D30" s="9" t="s">
        <v>91</v>
      </c>
      <c r="E30" s="10">
        <v>800</v>
      </c>
      <c r="F30" s="10">
        <v>45</v>
      </c>
      <c r="G30" s="9" t="s">
        <v>26</v>
      </c>
      <c r="H30" s="8">
        <f t="shared" si="0"/>
        <v>36000</v>
      </c>
      <c r="I30" s="15" t="s">
        <v>126</v>
      </c>
      <c r="J30" s="19" t="s">
        <v>157</v>
      </c>
      <c r="K30" s="19" t="s">
        <v>133</v>
      </c>
      <c r="L30" s="8"/>
      <c r="M30" s="8"/>
      <c r="N30" s="8" t="str">
        <v>High Price</v>
      </c>
    </row>
    <row r="31" spans="1:14" ht="15.6" x14ac:dyDescent="0.3">
      <c r="A31" s="8">
        <v>4</v>
      </c>
      <c r="B31" s="11" t="s">
        <v>35</v>
      </c>
      <c r="C31" s="11" t="s">
        <v>36</v>
      </c>
      <c r="D31" s="11" t="s">
        <v>37</v>
      </c>
      <c r="E31" s="12">
        <v>900</v>
      </c>
      <c r="F31" s="12">
        <v>25</v>
      </c>
      <c r="G31" s="11" t="s">
        <v>26</v>
      </c>
      <c r="H31" s="8">
        <f t="shared" si="0"/>
        <v>22500</v>
      </c>
      <c r="I31" s="16" t="s">
        <v>124</v>
      </c>
      <c r="J31" s="19" t="s">
        <v>147</v>
      </c>
      <c r="K31" s="19" t="s">
        <v>134</v>
      </c>
      <c r="L31" s="8"/>
      <c r="M31" s="8"/>
      <c r="N31" s="8" t="str">
        <v>High Price</v>
      </c>
    </row>
    <row r="32" spans="1:14" ht="13.2" x14ac:dyDescent="0.25">
      <c r="A32" s="8">
        <v>11</v>
      </c>
      <c r="B32" s="9" t="s">
        <v>57</v>
      </c>
      <c r="C32" s="9" t="s">
        <v>24</v>
      </c>
      <c r="D32" s="9" t="s">
        <v>58</v>
      </c>
      <c r="E32" s="10">
        <v>950</v>
      </c>
      <c r="F32" s="10">
        <v>25</v>
      </c>
      <c r="G32" s="9" t="s">
        <v>26</v>
      </c>
      <c r="H32" s="8">
        <f t="shared" si="0"/>
        <v>23750</v>
      </c>
      <c r="I32" s="15" t="s">
        <v>127</v>
      </c>
      <c r="J32" s="19" t="s">
        <v>156</v>
      </c>
      <c r="K32" s="19" t="s">
        <v>139</v>
      </c>
      <c r="L32" s="8"/>
      <c r="M32" s="8"/>
      <c r="N32" s="8" t="str">
        <v>High Price</v>
      </c>
    </row>
    <row r="33" spans="1:14" ht="13.2" x14ac:dyDescent="0.25">
      <c r="A33" s="8">
        <v>33</v>
      </c>
      <c r="B33" s="9" t="s">
        <v>57</v>
      </c>
      <c r="C33" s="9" t="s">
        <v>24</v>
      </c>
      <c r="D33" s="9" t="s">
        <v>58</v>
      </c>
      <c r="E33" s="10">
        <v>950</v>
      </c>
      <c r="F33" s="10">
        <v>25</v>
      </c>
      <c r="G33" s="9" t="s">
        <v>26</v>
      </c>
      <c r="H33" s="8">
        <f t="shared" si="0"/>
        <v>23750</v>
      </c>
      <c r="I33" s="15" t="s">
        <v>127</v>
      </c>
      <c r="J33" s="19" t="s">
        <v>156</v>
      </c>
      <c r="K33" s="19" t="s">
        <v>139</v>
      </c>
      <c r="L33" s="8"/>
      <c r="M33" s="8"/>
      <c r="N33" s="8" t="str">
        <v>High Price</v>
      </c>
    </row>
    <row r="34" spans="1:14" ht="13.2" x14ac:dyDescent="0.25">
      <c r="A34" s="8">
        <v>18</v>
      </c>
      <c r="B34" s="11" t="s">
        <v>73</v>
      </c>
      <c r="C34" s="11" t="s">
        <v>24</v>
      </c>
      <c r="D34" s="11" t="s">
        <v>74</v>
      </c>
      <c r="E34" s="12">
        <v>980</v>
      </c>
      <c r="F34" s="12">
        <v>10</v>
      </c>
      <c r="G34" s="11" t="s">
        <v>26</v>
      </c>
      <c r="H34" s="8">
        <f t="shared" si="0"/>
        <v>9800</v>
      </c>
      <c r="I34" s="15" t="s">
        <v>128</v>
      </c>
      <c r="J34" s="19" t="s">
        <v>153</v>
      </c>
      <c r="K34" s="19" t="s">
        <v>140</v>
      </c>
      <c r="L34" s="8"/>
      <c r="M34" s="8"/>
      <c r="N34" s="8" t="str">
        <v>High Price</v>
      </c>
    </row>
    <row r="35" spans="1:14" ht="13.2" x14ac:dyDescent="0.25">
      <c r="A35" s="8">
        <v>1</v>
      </c>
      <c r="B35" s="9" t="s">
        <v>23</v>
      </c>
      <c r="C35" s="9" t="s">
        <v>24</v>
      </c>
      <c r="D35" s="9" t="s">
        <v>25</v>
      </c>
      <c r="E35" s="10">
        <v>1000</v>
      </c>
      <c r="F35" s="10">
        <v>30</v>
      </c>
      <c r="G35" s="9" t="s">
        <v>26</v>
      </c>
      <c r="H35" s="8">
        <f t="shared" si="0"/>
        <v>30000</v>
      </c>
      <c r="I35" s="15" t="s">
        <v>129</v>
      </c>
      <c r="J35" s="19" t="s">
        <v>153</v>
      </c>
      <c r="K35" s="19" t="s">
        <v>134</v>
      </c>
      <c r="L35" s="8"/>
      <c r="M35" s="8"/>
      <c r="N35" s="8" t="str">
        <v>High Price</v>
      </c>
    </row>
    <row r="36" spans="1:14" ht="15.75" customHeight="1" x14ac:dyDescent="0.25">
      <c r="A36" s="8"/>
      <c r="B36" s="8"/>
      <c r="C36" s="8"/>
      <c r="D36" s="8"/>
      <c r="E36" s="8"/>
      <c r="F36" s="8"/>
      <c r="G36" s="13" t="s">
        <v>144</v>
      </c>
      <c r="H36" s="13">
        <f>SUM(H2:H35)</f>
        <v>289700</v>
      </c>
      <c r="I36" s="14"/>
      <c r="J36" s="19"/>
      <c r="K36" s="19"/>
      <c r="L36" s="8"/>
      <c r="M36" s="8"/>
      <c r="N36" s="8"/>
    </row>
    <row r="37" spans="1:14" ht="15.75" customHeight="1" x14ac:dyDescent="0.25">
      <c r="A37" s="8"/>
      <c r="B37" s="8"/>
      <c r="C37" s="8"/>
      <c r="D37" s="8"/>
      <c r="E37" s="8"/>
      <c r="F37" s="8"/>
      <c r="G37" s="13" t="s">
        <v>145</v>
      </c>
      <c r="H37" s="13">
        <f>H36/34</f>
        <v>8520.5882352941171</v>
      </c>
      <c r="I37" s="14"/>
      <c r="J37" s="19"/>
      <c r="K37" s="19"/>
      <c r="L37" s="8"/>
      <c r="M37" s="8"/>
      <c r="N37" s="8"/>
    </row>
  </sheetData>
  <autoFilter ref="A1:J37" xr:uid="{00000000-0001-0000-0100-000000000000}">
    <sortState xmlns:xlrd2="http://schemas.microsoft.com/office/spreadsheetml/2017/richdata2" ref="A2:J37">
      <sortCondition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 Meera</cp:lastModifiedBy>
  <dcterms:modified xsi:type="dcterms:W3CDTF">2026-06-25T13:04:28Z</dcterms:modified>
</cp:coreProperties>
</file>